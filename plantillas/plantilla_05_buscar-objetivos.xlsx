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lvo\Dropbox\PRACTICAS DE TURISMO 2014-2015\Plantillas y soluciones curso Excel\"/>
    </mc:Choice>
  </mc:AlternateContent>
  <bookViews>
    <workbookView xWindow="240" yWindow="210" windowWidth="11580" windowHeight="6675" activeTab="1"/>
  </bookViews>
  <sheets>
    <sheet name="INSTRUCCIONES" sheetId="2" r:id="rId1"/>
    <sheet name="busqueda" sheetId="1" r:id="rId2"/>
  </sheets>
  <calcPr calcId="162913"/>
</workbook>
</file>

<file path=xl/calcChain.xml><?xml version="1.0" encoding="utf-8"?>
<calcChain xmlns="http://schemas.openxmlformats.org/spreadsheetml/2006/main">
  <c r="H22" i="2" l="1"/>
  <c r="C33" i="2" l="1"/>
  <c r="D33" i="2" s="1"/>
  <c r="C21" i="2" l="1"/>
</calcChain>
</file>

<file path=xl/sharedStrings.xml><?xml version="1.0" encoding="utf-8"?>
<sst xmlns="http://schemas.openxmlformats.org/spreadsheetml/2006/main" count="116" uniqueCount="64">
  <si>
    <t xml:space="preserve"> Empleado</t>
  </si>
  <si>
    <t>que debe pagar como seguros sociales el 18% sobre el sueldo base.</t>
  </si>
  <si>
    <t>Sueldo base</t>
  </si>
  <si>
    <t xml:space="preserve">Incorpore la antigüedad para calcular el sueldo final de cada trabajador </t>
  </si>
  <si>
    <t>Antonio</t>
  </si>
  <si>
    <t>Elena</t>
  </si>
  <si>
    <t>Vicente</t>
  </si>
  <si>
    <t>Amparo</t>
  </si>
  <si>
    <t>Lucía</t>
  </si>
  <si>
    <t>Víctor</t>
  </si>
  <si>
    <t>Fecha actual</t>
  </si>
  <si>
    <t>Gasto por trabajador</t>
  </si>
  <si>
    <t>Gasto total de la empresa</t>
  </si>
  <si>
    <t>Contratación</t>
  </si>
  <si>
    <t>Sueldo final</t>
  </si>
  <si>
    <t>Propuesta sindical</t>
  </si>
  <si>
    <t>Total Empresarial</t>
  </si>
  <si>
    <t>Total sindical</t>
  </si>
  <si>
    <t>Antigüedad</t>
  </si>
  <si>
    <t>Trienios</t>
  </si>
  <si>
    <t>trienios</t>
  </si>
  <si>
    <t>Los sueldos y antigüedad de la plantilla son:</t>
  </si>
  <si>
    <t>SI</t>
  </si>
  <si>
    <t>ENTERO</t>
  </si>
  <si>
    <t>a</t>
  </si>
  <si>
    <t>préstamo</t>
  </si>
  <si>
    <t>b</t>
  </si>
  <si>
    <t>tasa anual</t>
  </si>
  <si>
    <t>a*b=c</t>
  </si>
  <si>
    <t>c</t>
  </si>
  <si>
    <t>años</t>
  </si>
  <si>
    <t>precio</t>
  </si>
  <si>
    <t>cantidad</t>
  </si>
  <si>
    <t>sumaproducto</t>
  </si>
  <si>
    <t>sp/5</t>
  </si>
  <si>
    <t>(Obreros Regionales, Internacionales y Nacionales) para acometer un ajuste salarial</t>
  </si>
  <si>
    <t>¿?</t>
  </si>
  <si>
    <t>Pegado especial (valores)</t>
  </si>
  <si>
    <t>Trienio</t>
  </si>
  <si>
    <t xml:space="preserve">La empresa de consultoría MEAR (Management Expert Accounting Research) ha entrado en negociaciones con el sindicato ORIN </t>
  </si>
  <si>
    <t>José</t>
  </si>
  <si>
    <t>Función BUSCAR OBJETIVOS</t>
  </si>
  <si>
    <t>Búsqueda de objetivos (Análisis Y si)</t>
  </si>
  <si>
    <t>Práctica 5</t>
  </si>
  <si>
    <t>Incremento</t>
  </si>
  <si>
    <t>En esta práctica repasaremos además las funciones:</t>
  </si>
  <si>
    <t>que otra dé como resultado un valor previamente prefijado.</t>
  </si>
  <si>
    <t>Esta función se utiliza para calcular automáticamente los valores que debe tomar una celda para</t>
  </si>
  <si>
    <t>cuota (mensual)</t>
  </si>
  <si>
    <t xml:space="preserve">a) Calcule el gasto de la empresa en sueldos por cada trabajador y el total, teniendo en cuenta  </t>
  </si>
  <si>
    <t>b) Suponga que el responsable de MEAR propone incrementar el sueldo base en 100 euros por cada tres años completos trabajados en la empresa.</t>
  </si>
  <si>
    <t>Total</t>
  </si>
  <si>
    <t>c) En lugar de la propuesta de la empresa, el sindicato ORIN proponen un incremento salarial de acuerdo con la siguiente tabla:</t>
  </si>
  <si>
    <t>sp</t>
  </si>
  <si>
    <t>de manera que el volumen total de salarios de la oferta sindical sea el mismo que el de la oferta empresarial</t>
  </si>
  <si>
    <t>¿Por cuánto hay que multiplicar "5" para obtener "42,126"?</t>
  </si>
  <si>
    <t>¿De cuánto ha de ser el préstamo para pagar una cuota de 700€ al mes?</t>
  </si>
  <si>
    <t>¿Cuál ha de ser el precio del primer producto para obtener una media de ingresos de 250€ por cada bien vendido?</t>
  </si>
  <si>
    <t xml:space="preserve">    Si el sueldo base es mayor que 15.000 euros pero inferior o igual a 20.000, incremento del 3%</t>
  </si>
  <si>
    <t xml:space="preserve">    Si el sueldo base es mayor que  20.000 euros, incremento del 2%</t>
  </si>
  <si>
    <t xml:space="preserve">    Si el sueldo base es inferior o igual a 15.000 euros, incremento del 4%</t>
  </si>
  <si>
    <t>Calcule los nuevos salarios si se acepta la propuesta. Indique el volumen total de salarios pagados por la propuesta empresarial y la sindical</t>
  </si>
  <si>
    <t>Un incremento de 90 euros por cada trienio, más un incremento adicional de:</t>
  </si>
  <si>
    <t xml:space="preserve">f) Utilizando la herramienta BUSQUEDA DE OBJETIVOS calcular cuál debería ser el pago por trienios de la oferta sindical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</si>
</sst>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#,##0.00\ &quot;€&quot;;[Red]\-#,##0.00\ &quot;€&quot;"/>
    <numFmt numFmtId="42" formatCode="_-* #,##0\ &quot;€&quot;_-;\-* #,##0\ &quot;€&quot;_-;_-* &quot;-&quot;\ &quot;€&quot;_-;_-@_-"/>
    <numFmt numFmtId="164" formatCode="_-* #,##0\ _P_t_s_-;\-* #,##0\ _P_t_s_-;_-* &quot;-&quot;\ _P_t_s_-;_-@_-"/>
    <numFmt numFmtId="165" formatCode="_-* #,##0.00\ &quot;Pts&quot;_-;\-* #,##0.00\ &quot;Pts&quot;_-;_-* &quot;-&quot;??\ &quot;Pts&quot;_-;_-@_-"/>
    <numFmt numFmtId="166" formatCode="0.00000"/>
    <numFmt numFmtId="167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NumberFormat="1"/>
    <xf numFmtId="0" fontId="0" fillId="2" borderId="0" xfId="0" applyFill="1"/>
    <xf numFmtId="14" fontId="0" fillId="3" borderId="0" xfId="0" applyNumberFormat="1" applyFill="1"/>
    <xf numFmtId="0" fontId="0" fillId="4" borderId="0" xfId="0" applyNumberFormat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2" borderId="0" xfId="0" applyNumberFormat="1" applyFill="1"/>
    <xf numFmtId="0" fontId="0" fillId="7" borderId="0" xfId="0" applyFill="1"/>
    <xf numFmtId="0" fontId="0" fillId="8" borderId="0" xfId="0" applyFill="1"/>
    <xf numFmtId="3" fontId="0" fillId="9" borderId="0" xfId="0" applyNumberFormat="1" applyFill="1"/>
    <xf numFmtId="3" fontId="0" fillId="4" borderId="0" xfId="0" applyNumberFormat="1" applyFill="1"/>
    <xf numFmtId="3" fontId="0" fillId="3" borderId="0" xfId="0" applyNumberFormat="1" applyFill="1"/>
    <xf numFmtId="0" fontId="3" fillId="0" borderId="0" xfId="0" applyFont="1"/>
    <xf numFmtId="0" fontId="4" fillId="0" borderId="0" xfId="0" applyFont="1"/>
    <xf numFmtId="0" fontId="3" fillId="0" borderId="0" xfId="0" quotePrefix="1" applyFont="1" applyAlignment="1">
      <alignment horizontal="left"/>
    </xf>
    <xf numFmtId="0" fontId="5" fillId="11" borderId="1" xfId="0" applyFont="1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0" xfId="0" applyFill="1" applyBorder="1"/>
    <xf numFmtId="0" fontId="0" fillId="11" borderId="5" xfId="0" applyFill="1" applyBorder="1"/>
    <xf numFmtId="0" fontId="3" fillId="11" borderId="4" xfId="0" applyFont="1" applyFill="1" applyBorder="1"/>
    <xf numFmtId="0" fontId="3" fillId="11" borderId="4" xfId="0" applyNumberFormat="1" applyFont="1" applyFill="1" applyBorder="1" applyAlignment="1">
      <alignment wrapText="1"/>
    </xf>
    <xf numFmtId="0" fontId="3" fillId="11" borderId="0" xfId="0" applyNumberFormat="1" applyFont="1" applyFill="1" applyBorder="1" applyAlignment="1">
      <alignment wrapText="1"/>
    </xf>
    <xf numFmtId="0" fontId="3" fillId="11" borderId="5" xfId="0" applyNumberFormat="1" applyFont="1" applyFill="1" applyBorder="1" applyAlignment="1">
      <alignment wrapText="1"/>
    </xf>
    <xf numFmtId="0" fontId="3" fillId="11" borderId="6" xfId="0" applyFont="1" applyFill="1" applyBorder="1"/>
    <xf numFmtId="0" fontId="3" fillId="11" borderId="7" xfId="0" applyFont="1" applyFill="1" applyBorder="1"/>
    <xf numFmtId="0" fontId="3" fillId="11" borderId="8" xfId="0" applyFont="1" applyFill="1" applyBorder="1"/>
    <xf numFmtId="42" fontId="0" fillId="0" borderId="0" xfId="2" applyNumberFormat="1" applyFont="1"/>
    <xf numFmtId="0" fontId="0" fillId="0" borderId="0" xfId="0" applyAlignment="1">
      <alignment horizontal="right"/>
    </xf>
    <xf numFmtId="0" fontId="0" fillId="13" borderId="0" xfId="0" applyFill="1"/>
    <xf numFmtId="0" fontId="0" fillId="14" borderId="0" xfId="0" applyFill="1" applyAlignment="1">
      <alignment horizontal="right"/>
    </xf>
    <xf numFmtId="42" fontId="2" fillId="13" borderId="0" xfId="2" applyNumberFormat="1" applyFont="1" applyFill="1"/>
    <xf numFmtId="10" fontId="0" fillId="0" borderId="0" xfId="3" applyNumberFormat="1" applyFont="1"/>
    <xf numFmtId="8" fontId="0" fillId="4" borderId="0" xfId="0" applyNumberFormat="1" applyFill="1"/>
    <xf numFmtId="8" fontId="0" fillId="14" borderId="0" xfId="0" applyNumberFormat="1" applyFill="1"/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42" fontId="4" fillId="14" borderId="0" xfId="2" applyNumberFormat="1" applyFont="1" applyFill="1" applyAlignment="1">
      <alignment horizontal="center"/>
    </xf>
    <xf numFmtId="0" fontId="4" fillId="15" borderId="0" xfId="0" applyFont="1" applyFill="1"/>
    <xf numFmtId="0" fontId="0" fillId="15" borderId="0" xfId="0" applyFill="1"/>
    <xf numFmtId="14" fontId="0" fillId="0" borderId="0" xfId="0" applyNumberFormat="1"/>
    <xf numFmtId="166" fontId="0" fillId="0" borderId="0" xfId="0" applyNumberFormat="1"/>
    <xf numFmtId="4" fontId="0" fillId="3" borderId="0" xfId="0" applyNumberFormat="1" applyFill="1"/>
    <xf numFmtId="3" fontId="0" fillId="16" borderId="0" xfId="0" applyNumberFormat="1" applyFill="1"/>
    <xf numFmtId="0" fontId="0" fillId="8" borderId="0" xfId="0" applyFill="1" applyAlignment="1"/>
    <xf numFmtId="0" fontId="0" fillId="4" borderId="0" xfId="0" applyFill="1" applyAlignment="1">
      <alignment horizontal="center"/>
    </xf>
    <xf numFmtId="0" fontId="0" fillId="14" borderId="0" xfId="0" applyFill="1" applyAlignment="1">
      <alignment horizontal="center"/>
    </xf>
    <xf numFmtId="8" fontId="0" fillId="0" borderId="0" xfId="0" applyNumberFormat="1" applyFill="1"/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3" fontId="0" fillId="9" borderId="0" xfId="0" applyNumberFormat="1" applyFill="1" applyAlignment="1">
      <alignment horizontal="center"/>
    </xf>
    <xf numFmtId="2" fontId="0" fillId="9" borderId="0" xfId="1" applyNumberFormat="1" applyFont="1" applyFill="1" applyAlignment="1">
      <alignment horizontal="center"/>
    </xf>
    <xf numFmtId="4" fontId="0" fillId="10" borderId="0" xfId="0" applyNumberFormat="1" applyFill="1"/>
    <xf numFmtId="4" fontId="0" fillId="6" borderId="0" xfId="0" applyNumberFormat="1" applyFill="1"/>
    <xf numFmtId="1" fontId="0" fillId="3" borderId="0" xfId="0" applyNumberFormat="1" applyFill="1"/>
    <xf numFmtId="1" fontId="0" fillId="7" borderId="0" xfId="0" applyNumberFormat="1" applyFill="1"/>
    <xf numFmtId="3" fontId="0" fillId="0" borderId="0" xfId="0" applyNumberFormat="1"/>
    <xf numFmtId="0" fontId="1" fillId="11" borderId="4" xfId="0" applyFont="1" applyFill="1" applyBorder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0" xfId="0" applyFont="1" applyAlignment="1"/>
    <xf numFmtId="0" fontId="4" fillId="1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Millares [0]" xfId="1" builtinId="6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432289</xdr:colOff>
      <xdr:row>17</xdr:row>
      <xdr:rowOff>161192</xdr:rowOff>
    </xdr:from>
    <xdr:to>
      <xdr:col>10</xdr:col>
      <xdr:colOff>441814</xdr:colOff>
      <xdr:row>22</xdr:row>
      <xdr:rowOff>9524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0597" y="2908788"/>
          <a:ext cx="771525" cy="654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388327</xdr:colOff>
      <xdr:row>18</xdr:row>
      <xdr:rowOff>14654</xdr:rowOff>
    </xdr:from>
    <xdr:to>
      <xdr:col>5</xdr:col>
      <xdr:colOff>397852</xdr:colOff>
      <xdr:row>21</xdr:row>
      <xdr:rowOff>24179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8904" y="2762250"/>
          <a:ext cx="771525" cy="493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153864</xdr:colOff>
      <xdr:row>25</xdr:row>
      <xdr:rowOff>7326</xdr:rowOff>
    </xdr:from>
    <xdr:to>
      <xdr:col>10</xdr:col>
      <xdr:colOff>468189</xdr:colOff>
      <xdr:row>34</xdr:row>
      <xdr:rowOff>16852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8172" y="4044461"/>
          <a:ext cx="2600325" cy="1460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53</xdr:row>
      <xdr:rowOff>38100</xdr:rowOff>
    </xdr:from>
    <xdr:to>
      <xdr:col>3</xdr:col>
      <xdr:colOff>657225</xdr:colOff>
      <xdr:row>55</xdr:row>
      <xdr:rowOff>76200</xdr:rowOff>
    </xdr:to>
    <xdr:cxnSp macro="">
      <xdr:nvCxnSpPr>
        <xdr:cNvPr id="3" name="2 Conector recto de flecha"/>
        <xdr:cNvCxnSpPr/>
      </xdr:nvCxnSpPr>
      <xdr:spPr>
        <a:xfrm flipH="1">
          <a:off x="2933700" y="8296275"/>
          <a:ext cx="9525" cy="361950"/>
        </a:xfrm>
        <a:prstGeom prst="straightConnector1">
          <a:avLst/>
        </a:prstGeom>
        <a:ln w="22225"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365125</xdr:colOff>
      <xdr:row>32</xdr:row>
      <xdr:rowOff>150813</xdr:rowOff>
    </xdr:from>
    <xdr:to>
      <xdr:col>10</xdr:col>
      <xdr:colOff>98425</xdr:colOff>
      <xdr:row>43</xdr:row>
      <xdr:rowOff>1588</xdr:rowOff>
    </xdr:to>
    <xdr:pic>
      <xdr:nvPicPr>
        <xdr:cNvPr id="18" name="17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063" y="5072063"/>
          <a:ext cx="2432050" cy="159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638175</xdr:colOff>
      <xdr:row>28</xdr:row>
      <xdr:rowOff>9525</xdr:rowOff>
    </xdr:to>
    <xdr:pic>
      <xdr:nvPicPr>
        <xdr:cNvPr id="20" name="19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076575"/>
          <a:ext cx="1533525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7937</xdr:colOff>
      <xdr:row>53</xdr:row>
      <xdr:rowOff>150813</xdr:rowOff>
    </xdr:from>
    <xdr:to>
      <xdr:col>18</xdr:col>
      <xdr:colOff>303212</xdr:colOff>
      <xdr:row>64</xdr:row>
      <xdr:rowOff>1588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5625" y="8564563"/>
          <a:ext cx="6105525" cy="1597025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9</xdr:col>
      <xdr:colOff>754063</xdr:colOff>
      <xdr:row>71</xdr:row>
      <xdr:rowOff>0</xdr:rowOff>
    </xdr:from>
    <xdr:to>
      <xdr:col>18</xdr:col>
      <xdr:colOff>287338</xdr:colOff>
      <xdr:row>79</xdr:row>
      <xdr:rowOff>9525</xdr:rowOff>
    </xdr:to>
    <xdr:pic>
      <xdr:nvPicPr>
        <xdr:cNvPr id="10" name="Imagen 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9751" y="11271250"/>
          <a:ext cx="6105525" cy="12795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opLeftCell="A10" zoomScale="130" zoomScaleNormal="130" workbookViewId="0">
      <selection activeCell="A24" sqref="A24:H24"/>
    </sheetView>
  </sheetViews>
  <sheetFormatPr baseColWidth="10" defaultRowHeight="12.75" x14ac:dyDescent="0.2"/>
  <cols>
    <col min="2" max="2" width="13" customWidth="1"/>
    <col min="6" max="6" width="13.140625" customWidth="1"/>
    <col min="7" max="7" width="14.28515625" bestFit="1" customWidth="1"/>
  </cols>
  <sheetData>
    <row r="1" spans="1:8" x14ac:dyDescent="0.2">
      <c r="A1" s="17" t="s">
        <v>43</v>
      </c>
      <c r="B1" s="18"/>
      <c r="C1" s="18"/>
      <c r="D1" s="18"/>
      <c r="E1" s="18"/>
      <c r="F1" s="18"/>
      <c r="G1" s="18"/>
      <c r="H1" s="19"/>
    </row>
    <row r="2" spans="1:8" x14ac:dyDescent="0.2">
      <c r="A2" s="20"/>
      <c r="B2" s="21"/>
      <c r="C2" s="21"/>
      <c r="D2" s="21"/>
      <c r="E2" s="21"/>
      <c r="F2" s="21"/>
      <c r="G2" s="21"/>
      <c r="H2" s="22"/>
    </row>
    <row r="3" spans="1:8" x14ac:dyDescent="0.2">
      <c r="A3" s="23" t="s">
        <v>41</v>
      </c>
      <c r="B3" s="21"/>
      <c r="C3" s="21"/>
      <c r="D3" s="21"/>
      <c r="E3" s="21"/>
      <c r="F3" s="21"/>
      <c r="G3" s="21"/>
      <c r="H3" s="22"/>
    </row>
    <row r="4" spans="1:8" x14ac:dyDescent="0.2">
      <c r="A4" s="20"/>
      <c r="B4" s="21"/>
      <c r="C4" s="21"/>
      <c r="D4" s="21"/>
      <c r="E4" s="21"/>
      <c r="F4" s="21"/>
      <c r="G4" s="21"/>
      <c r="H4" s="22"/>
    </row>
    <row r="5" spans="1:8" x14ac:dyDescent="0.2">
      <c r="A5" s="63" t="s">
        <v>47</v>
      </c>
      <c r="B5" s="21"/>
      <c r="C5" s="21"/>
      <c r="D5" s="21"/>
      <c r="E5" s="21"/>
      <c r="F5" s="21"/>
      <c r="G5" s="21"/>
      <c r="H5" s="22"/>
    </row>
    <row r="6" spans="1:8" x14ac:dyDescent="0.2">
      <c r="A6" s="63" t="s">
        <v>46</v>
      </c>
      <c r="B6" s="21"/>
      <c r="C6" s="21"/>
      <c r="D6" s="21"/>
      <c r="E6" s="21"/>
      <c r="F6" s="21"/>
      <c r="G6" s="21"/>
      <c r="H6" s="22"/>
    </row>
    <row r="7" spans="1:8" x14ac:dyDescent="0.2">
      <c r="A7" s="63" t="s">
        <v>45</v>
      </c>
      <c r="B7" s="21"/>
      <c r="C7" s="21"/>
      <c r="D7" s="21"/>
      <c r="E7" s="21"/>
      <c r="F7" s="21"/>
      <c r="G7" s="21"/>
      <c r="H7" s="22"/>
    </row>
    <row r="8" spans="1:8" x14ac:dyDescent="0.2">
      <c r="A8" s="20"/>
      <c r="B8" s="21"/>
      <c r="C8" s="21"/>
      <c r="D8" s="21"/>
      <c r="E8" s="21"/>
      <c r="F8" s="21"/>
      <c r="G8" s="21"/>
      <c r="H8" s="22"/>
    </row>
    <row r="9" spans="1:8" x14ac:dyDescent="0.2">
      <c r="A9" s="24" t="s">
        <v>22</v>
      </c>
      <c r="B9" s="25"/>
      <c r="C9" s="25"/>
      <c r="D9" s="25"/>
      <c r="E9" s="25"/>
      <c r="F9" s="25"/>
      <c r="G9" s="25"/>
      <c r="H9" s="26"/>
    </row>
    <row r="10" spans="1:8" ht="13.5" thickBot="1" x14ac:dyDescent="0.25">
      <c r="A10" s="27" t="s">
        <v>23</v>
      </c>
      <c r="B10" s="28"/>
      <c r="C10" s="28"/>
      <c r="D10" s="28"/>
      <c r="E10" s="28"/>
      <c r="F10" s="28"/>
      <c r="G10" s="28"/>
      <c r="H10" s="29"/>
    </row>
    <row r="11" spans="1:8" x14ac:dyDescent="0.2">
      <c r="A11" s="14"/>
      <c r="B11" s="14"/>
      <c r="C11" s="14"/>
      <c r="D11" s="14"/>
      <c r="E11" s="14"/>
      <c r="F11" s="14"/>
      <c r="G11" s="14"/>
      <c r="H11" s="14"/>
    </row>
    <row r="15" spans="1:8" x14ac:dyDescent="0.2">
      <c r="A15" s="69" t="s">
        <v>42</v>
      </c>
      <c r="B15" s="69"/>
      <c r="C15" s="69"/>
    </row>
    <row r="16" spans="1:8" x14ac:dyDescent="0.2">
      <c r="F16" s="30"/>
    </row>
    <row r="17" spans="1:11" x14ac:dyDescent="0.2">
      <c r="A17" s="70" t="s">
        <v>55</v>
      </c>
      <c r="B17" s="70"/>
      <c r="C17" s="70"/>
      <c r="D17" s="70"/>
      <c r="E17" s="70"/>
      <c r="G17" s="70" t="s">
        <v>56</v>
      </c>
      <c r="H17" s="70"/>
      <c r="I17" s="70"/>
      <c r="J17" s="70"/>
      <c r="K17" s="70"/>
    </row>
    <row r="18" spans="1:11" x14ac:dyDescent="0.2">
      <c r="A18" s="66"/>
      <c r="B18" s="66"/>
      <c r="C18" s="66"/>
      <c r="D18" s="66"/>
      <c r="E18" s="66"/>
      <c r="G18" s="68"/>
      <c r="H18" s="68"/>
      <c r="I18" s="68"/>
      <c r="J18" s="68"/>
    </row>
    <row r="19" spans="1:11" x14ac:dyDescent="0.2">
      <c r="B19" s="31" t="s">
        <v>24</v>
      </c>
      <c r="C19" s="32">
        <v>10</v>
      </c>
      <c r="D19" s="40" t="s">
        <v>36</v>
      </c>
      <c r="G19" t="s">
        <v>25</v>
      </c>
      <c r="H19" s="34">
        <v>100000</v>
      </c>
      <c r="I19" s="41" t="s">
        <v>36</v>
      </c>
    </row>
    <row r="20" spans="1:11" x14ac:dyDescent="0.2">
      <c r="B20" s="31" t="s">
        <v>26</v>
      </c>
      <c r="C20">
        <v>5</v>
      </c>
      <c r="D20" s="31">
        <v>5</v>
      </c>
      <c r="G20" t="s">
        <v>27</v>
      </c>
      <c r="H20" s="35">
        <v>6.5000000000000002E-2</v>
      </c>
      <c r="I20" s="35">
        <v>6.5000000000000002E-2</v>
      </c>
    </row>
    <row r="21" spans="1:11" x14ac:dyDescent="0.2">
      <c r="A21" s="31" t="s">
        <v>28</v>
      </c>
      <c r="B21" s="31" t="s">
        <v>29</v>
      </c>
      <c r="C21" s="6">
        <f>C19*C20</f>
        <v>50</v>
      </c>
      <c r="D21" s="33">
        <v>42.125999999999998</v>
      </c>
      <c r="G21" t="s">
        <v>30</v>
      </c>
      <c r="H21">
        <v>20</v>
      </c>
      <c r="I21">
        <v>20</v>
      </c>
    </row>
    <row r="22" spans="1:11" x14ac:dyDescent="0.2">
      <c r="G22" s="64" t="s">
        <v>48</v>
      </c>
      <c r="H22" s="36">
        <f>PMT(H20/12,H21*12,-H19)</f>
        <v>745.57313551509696</v>
      </c>
      <c r="I22" s="37">
        <v>700</v>
      </c>
    </row>
    <row r="24" spans="1:11" x14ac:dyDescent="0.2">
      <c r="A24" s="70" t="s">
        <v>57</v>
      </c>
      <c r="B24" s="70"/>
      <c r="C24" s="70"/>
      <c r="D24" s="70"/>
      <c r="E24" s="70"/>
      <c r="F24" s="70"/>
      <c r="G24" s="70"/>
      <c r="H24" s="70"/>
      <c r="I24" s="51"/>
      <c r="J24" s="51"/>
    </row>
    <row r="25" spans="1:11" x14ac:dyDescent="0.2">
      <c r="A25" s="66"/>
      <c r="B25" s="66"/>
      <c r="C25" s="66"/>
      <c r="D25" s="66"/>
      <c r="E25" s="66"/>
      <c r="F25" s="66"/>
      <c r="G25" s="66"/>
      <c r="H25" s="66"/>
      <c r="I25" s="51"/>
      <c r="J25" s="51"/>
    </row>
    <row r="26" spans="1:11" x14ac:dyDescent="0.2">
      <c r="B26" s="38" t="s">
        <v>31</v>
      </c>
      <c r="C26" s="38" t="s">
        <v>32</v>
      </c>
      <c r="E26" s="38" t="s">
        <v>31</v>
      </c>
      <c r="F26" s="38" t="s">
        <v>32</v>
      </c>
    </row>
    <row r="27" spans="1:11" x14ac:dyDescent="0.2">
      <c r="B27" s="39">
        <v>7</v>
      </c>
      <c r="C27" s="38">
        <v>21</v>
      </c>
      <c r="E27" s="40" t="s">
        <v>36</v>
      </c>
      <c r="F27" s="38">
        <v>21</v>
      </c>
    </row>
    <row r="28" spans="1:11" x14ac:dyDescent="0.2">
      <c r="B28" s="38">
        <v>5</v>
      </c>
      <c r="C28" s="38">
        <v>22</v>
      </c>
      <c r="E28" s="38">
        <v>5</v>
      </c>
      <c r="F28" s="38">
        <v>22</v>
      </c>
    </row>
    <row r="29" spans="1:11" x14ac:dyDescent="0.2">
      <c r="B29" s="38">
        <v>4</v>
      </c>
      <c r="C29" s="38">
        <v>63</v>
      </c>
      <c r="E29" s="38">
        <v>4</v>
      </c>
      <c r="F29" s="38">
        <v>63</v>
      </c>
    </row>
    <row r="30" spans="1:11" x14ac:dyDescent="0.2">
      <c r="B30" s="38">
        <v>7</v>
      </c>
      <c r="C30" s="38">
        <v>58</v>
      </c>
      <c r="E30" s="38">
        <v>7</v>
      </c>
      <c r="F30" s="38">
        <v>58</v>
      </c>
    </row>
    <row r="31" spans="1:11" x14ac:dyDescent="0.2">
      <c r="B31" s="38">
        <v>5</v>
      </c>
      <c r="C31" s="38">
        <v>65</v>
      </c>
      <c r="E31" s="38">
        <v>5</v>
      </c>
      <c r="F31" s="38">
        <v>65</v>
      </c>
    </row>
    <row r="33" spans="2:7" x14ac:dyDescent="0.2">
      <c r="B33" t="s">
        <v>33</v>
      </c>
      <c r="C33" s="38">
        <f>SUMPRODUCT(B27:B31,C27:C31)</f>
        <v>1240</v>
      </c>
      <c r="D33" s="49">
        <f>C33/5</f>
        <v>248</v>
      </c>
      <c r="G33" s="50">
        <v>250</v>
      </c>
    </row>
    <row r="34" spans="2:7" x14ac:dyDescent="0.2">
      <c r="C34" s="66" t="s">
        <v>53</v>
      </c>
      <c r="D34" s="38" t="s">
        <v>34</v>
      </c>
      <c r="F34" s="66" t="s">
        <v>53</v>
      </c>
      <c r="G34" s="38" t="s">
        <v>34</v>
      </c>
    </row>
  </sheetData>
  <mergeCells count="4">
    <mergeCell ref="A15:C15"/>
    <mergeCell ref="A17:E17"/>
    <mergeCell ref="A24:H24"/>
    <mergeCell ref="G17:K17"/>
  </mergeCells>
  <pageMargins left="0.7" right="0.7" top="0.75" bottom="0.75" header="0.3" footer="0.3"/>
  <pageSetup paperSize="9" scale="8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9"/>
  <sheetViews>
    <sheetView tabSelected="1" topLeftCell="A52" zoomScale="120" zoomScaleNormal="120" workbookViewId="0">
      <selection activeCell="Q69" sqref="Q69"/>
    </sheetView>
  </sheetViews>
  <sheetFormatPr baseColWidth="10" defaultRowHeight="12.75" x14ac:dyDescent="0.2"/>
  <cols>
    <col min="7" max="7" width="13.42578125" customWidth="1"/>
    <col min="8" max="8" width="15.7109375" style="38" customWidth="1"/>
    <col min="9" max="9" width="13.28515625" style="38" customWidth="1"/>
    <col min="13" max="13" width="10.42578125" customWidth="1"/>
    <col min="14" max="14" width="10" customWidth="1"/>
    <col min="16" max="16" width="9.5703125" customWidth="1"/>
  </cols>
  <sheetData>
    <row r="1" spans="1:9" x14ac:dyDescent="0.2">
      <c r="A1" s="14" t="s">
        <v>39</v>
      </c>
    </row>
    <row r="2" spans="1:9" x14ac:dyDescent="0.2">
      <c r="A2" s="14" t="s">
        <v>35</v>
      </c>
    </row>
    <row r="4" spans="1:9" x14ac:dyDescent="0.2">
      <c r="H4"/>
      <c r="I4"/>
    </row>
    <row r="5" spans="1:9" x14ac:dyDescent="0.2">
      <c r="A5" s="15" t="s">
        <v>21</v>
      </c>
      <c r="H5"/>
      <c r="I5"/>
    </row>
    <row r="6" spans="1:9" x14ac:dyDescent="0.2">
      <c r="H6"/>
      <c r="I6"/>
    </row>
    <row r="7" spans="1:9" x14ac:dyDescent="0.2">
      <c r="A7" s="2" t="s">
        <v>0</v>
      </c>
      <c r="B7" s="2" t="s">
        <v>2</v>
      </c>
      <c r="C7" s="65" t="s">
        <v>13</v>
      </c>
      <c r="D7" s="1"/>
      <c r="E7" s="1"/>
      <c r="H7"/>
      <c r="I7"/>
    </row>
    <row r="8" spans="1:9" x14ac:dyDescent="0.2">
      <c r="A8" t="s">
        <v>40</v>
      </c>
      <c r="B8" s="13">
        <v>8285</v>
      </c>
      <c r="C8" s="3">
        <v>36281</v>
      </c>
      <c r="D8" s="1"/>
      <c r="E8" s="1"/>
      <c r="H8"/>
      <c r="I8"/>
    </row>
    <row r="9" spans="1:9" x14ac:dyDescent="0.2">
      <c r="A9" t="s">
        <v>4</v>
      </c>
      <c r="B9" s="13">
        <v>12000</v>
      </c>
      <c r="C9" s="3">
        <v>37412</v>
      </c>
      <c r="D9" s="1"/>
      <c r="E9" s="1"/>
      <c r="H9"/>
      <c r="I9"/>
    </row>
    <row r="10" spans="1:9" x14ac:dyDescent="0.2">
      <c r="A10" t="s">
        <v>5</v>
      </c>
      <c r="B10" s="13">
        <v>13500</v>
      </c>
      <c r="C10" s="3">
        <v>35073</v>
      </c>
      <c r="D10" s="1"/>
      <c r="E10" s="1"/>
      <c r="H10"/>
      <c r="I10"/>
    </row>
    <row r="11" spans="1:9" x14ac:dyDescent="0.2">
      <c r="A11" t="s">
        <v>6</v>
      </c>
      <c r="B11" s="13">
        <v>25000</v>
      </c>
      <c r="C11" s="3">
        <v>36044</v>
      </c>
      <c r="D11" s="1"/>
      <c r="E11" s="1"/>
      <c r="H11"/>
      <c r="I11"/>
    </row>
    <row r="12" spans="1:9" x14ac:dyDescent="0.2">
      <c r="A12" t="s">
        <v>7</v>
      </c>
      <c r="B12" s="13">
        <v>17352</v>
      </c>
      <c r="C12" s="3">
        <v>36937</v>
      </c>
      <c r="D12" s="1"/>
      <c r="E12" s="1"/>
      <c r="F12" s="1"/>
      <c r="H12"/>
      <c r="I12"/>
    </row>
    <row r="13" spans="1:9" x14ac:dyDescent="0.2">
      <c r="A13" t="s">
        <v>8</v>
      </c>
      <c r="B13" s="13">
        <v>18563</v>
      </c>
      <c r="C13" s="3">
        <v>30127</v>
      </c>
      <c r="D13" s="1"/>
      <c r="E13" s="1"/>
      <c r="F13" s="1"/>
      <c r="H13"/>
      <c r="I13"/>
    </row>
    <row r="14" spans="1:9" x14ac:dyDescent="0.2">
      <c r="A14" t="s">
        <v>9</v>
      </c>
      <c r="B14" s="13">
        <v>11000</v>
      </c>
      <c r="C14" s="3">
        <v>31521</v>
      </c>
      <c r="D14" s="1"/>
      <c r="E14" s="4" t="s">
        <v>10</v>
      </c>
      <c r="F14" s="3">
        <v>41993</v>
      </c>
      <c r="H14"/>
      <c r="I14"/>
    </row>
    <row r="15" spans="1:9" x14ac:dyDescent="0.2">
      <c r="D15" s="1"/>
      <c r="E15" s="1"/>
      <c r="F15" s="1"/>
      <c r="G15" s="1"/>
      <c r="H15" s="52"/>
    </row>
    <row r="17" spans="1:9" x14ac:dyDescent="0.2">
      <c r="A17" s="14" t="s">
        <v>49</v>
      </c>
    </row>
    <row r="18" spans="1:9" x14ac:dyDescent="0.2">
      <c r="A18" s="14" t="s">
        <v>1</v>
      </c>
    </row>
    <row r="20" spans="1:9" x14ac:dyDescent="0.2">
      <c r="B20" s="2" t="s">
        <v>0</v>
      </c>
      <c r="C20" s="2" t="s">
        <v>2</v>
      </c>
      <c r="D20" s="5" t="s">
        <v>11</v>
      </c>
      <c r="E20" s="5"/>
    </row>
    <row r="21" spans="1:9" x14ac:dyDescent="0.2">
      <c r="B21" s="6" t="s">
        <v>40</v>
      </c>
      <c r="C21" s="12">
        <v>8285</v>
      </c>
      <c r="D21" s="58"/>
      <c r="G21" s="44"/>
    </row>
    <row r="22" spans="1:9" x14ac:dyDescent="0.2">
      <c r="B22" s="6" t="s">
        <v>4</v>
      </c>
      <c r="C22" s="12">
        <v>12000</v>
      </c>
      <c r="D22" s="58"/>
      <c r="G22" s="44"/>
    </row>
    <row r="23" spans="1:9" x14ac:dyDescent="0.2">
      <c r="B23" s="6" t="s">
        <v>5</v>
      </c>
      <c r="C23" s="12">
        <v>13500</v>
      </c>
      <c r="D23" s="58"/>
    </row>
    <row r="24" spans="1:9" x14ac:dyDescent="0.2">
      <c r="B24" s="6" t="s">
        <v>6</v>
      </c>
      <c r="C24" s="12">
        <v>25000</v>
      </c>
      <c r="D24" s="58"/>
      <c r="G24" s="44"/>
      <c r="I24" s="53"/>
    </row>
    <row r="25" spans="1:9" x14ac:dyDescent="0.2">
      <c r="B25" s="6" t="s">
        <v>7</v>
      </c>
      <c r="C25" s="12">
        <v>17352</v>
      </c>
      <c r="D25" s="58"/>
      <c r="I25" s="54"/>
    </row>
    <row r="26" spans="1:9" x14ac:dyDescent="0.2">
      <c r="B26" s="6" t="s">
        <v>8</v>
      </c>
      <c r="C26" s="12">
        <v>18563</v>
      </c>
      <c r="D26" s="58"/>
      <c r="G26" s="44"/>
    </row>
    <row r="27" spans="1:9" x14ac:dyDescent="0.2">
      <c r="B27" s="6" t="s">
        <v>9</v>
      </c>
      <c r="C27" s="12">
        <v>11000</v>
      </c>
      <c r="D27" s="58"/>
      <c r="G27" s="44"/>
    </row>
    <row r="28" spans="1:9" x14ac:dyDescent="0.2">
      <c r="B28" s="7" t="s">
        <v>12</v>
      </c>
      <c r="C28" s="7"/>
      <c r="D28" s="59"/>
    </row>
    <row r="30" spans="1:9" x14ac:dyDescent="0.2">
      <c r="G30" s="45"/>
    </row>
    <row r="31" spans="1:9" x14ac:dyDescent="0.2">
      <c r="A31" s="16" t="s">
        <v>50</v>
      </c>
    </row>
    <row r="32" spans="1:9" x14ac:dyDescent="0.2">
      <c r="A32" s="14" t="s">
        <v>3</v>
      </c>
    </row>
    <row r="34" spans="1:8" x14ac:dyDescent="0.2">
      <c r="B34" s="2" t="s">
        <v>0</v>
      </c>
      <c r="C34" s="2" t="s">
        <v>2</v>
      </c>
      <c r="D34" s="2" t="s">
        <v>13</v>
      </c>
      <c r="E34" s="8" t="s">
        <v>18</v>
      </c>
      <c r="F34" s="8" t="s">
        <v>19</v>
      </c>
      <c r="G34" s="8" t="s">
        <v>14</v>
      </c>
    </row>
    <row r="35" spans="1:8" x14ac:dyDescent="0.2">
      <c r="B35" t="s">
        <v>40</v>
      </c>
      <c r="C35" s="12">
        <v>8285</v>
      </c>
      <c r="D35" s="3">
        <v>36281</v>
      </c>
      <c r="E35" s="60"/>
      <c r="F35" s="13"/>
      <c r="G35" s="46"/>
    </row>
    <row r="36" spans="1:8" x14ac:dyDescent="0.2">
      <c r="B36" t="s">
        <v>4</v>
      </c>
      <c r="C36" s="12">
        <v>12000</v>
      </c>
      <c r="D36" s="3">
        <v>37412</v>
      </c>
      <c r="E36" s="60"/>
      <c r="F36" s="13"/>
      <c r="G36" s="46"/>
    </row>
    <row r="37" spans="1:8" x14ac:dyDescent="0.2">
      <c r="B37" t="s">
        <v>5</v>
      </c>
      <c r="C37" s="12">
        <v>13500</v>
      </c>
      <c r="D37" s="3">
        <v>35073</v>
      </c>
      <c r="E37" s="60"/>
      <c r="F37" s="13"/>
      <c r="G37" s="46"/>
    </row>
    <row r="38" spans="1:8" x14ac:dyDescent="0.2">
      <c r="B38" t="s">
        <v>6</v>
      </c>
      <c r="C38" s="12">
        <v>25000</v>
      </c>
      <c r="D38" s="3">
        <v>36044</v>
      </c>
      <c r="E38" s="60"/>
      <c r="F38" s="13"/>
      <c r="G38" s="46"/>
    </row>
    <row r="39" spans="1:8" x14ac:dyDescent="0.2">
      <c r="B39" t="s">
        <v>7</v>
      </c>
      <c r="C39" s="12">
        <v>17352</v>
      </c>
      <c r="D39" s="3">
        <v>36937</v>
      </c>
      <c r="E39" s="60"/>
      <c r="F39" s="13"/>
      <c r="G39" s="46"/>
    </row>
    <row r="40" spans="1:8" x14ac:dyDescent="0.2">
      <c r="B40" t="s">
        <v>8</v>
      </c>
      <c r="C40" s="12">
        <v>18563</v>
      </c>
      <c r="D40" s="3">
        <v>30127</v>
      </c>
      <c r="E40" s="60"/>
      <c r="F40" s="13"/>
      <c r="G40" s="46"/>
    </row>
    <row r="41" spans="1:8" x14ac:dyDescent="0.2">
      <c r="B41" t="s">
        <v>9</v>
      </c>
      <c r="C41" s="12">
        <v>11000</v>
      </c>
      <c r="D41" s="3">
        <v>31521</v>
      </c>
      <c r="E41" s="60"/>
      <c r="F41" s="13"/>
      <c r="G41" s="46"/>
    </row>
    <row r="43" spans="1:8" x14ac:dyDescent="0.2">
      <c r="B43" s="4" t="s">
        <v>10</v>
      </c>
      <c r="C43" s="3">
        <v>41993</v>
      </c>
      <c r="F43" s="64" t="s">
        <v>51</v>
      </c>
      <c r="G43" s="47"/>
    </row>
    <row r="44" spans="1:8" x14ac:dyDescent="0.2">
      <c r="H44"/>
    </row>
    <row r="46" spans="1:8" x14ac:dyDescent="0.2">
      <c r="A46" s="14" t="s">
        <v>52</v>
      </c>
    </row>
    <row r="47" spans="1:8" x14ac:dyDescent="0.2">
      <c r="A47" s="64" t="s">
        <v>62</v>
      </c>
    </row>
    <row r="48" spans="1:8" x14ac:dyDescent="0.2">
      <c r="A48" s="64" t="s">
        <v>60</v>
      </c>
    </row>
    <row r="49" spans="1:9" x14ac:dyDescent="0.2">
      <c r="A49" s="64" t="s">
        <v>58</v>
      </c>
    </row>
    <row r="50" spans="1:9" x14ac:dyDescent="0.2">
      <c r="A50" s="64" t="s">
        <v>59</v>
      </c>
    </row>
    <row r="51" spans="1:9" x14ac:dyDescent="0.2">
      <c r="A51" s="64" t="s">
        <v>61</v>
      </c>
    </row>
    <row r="53" spans="1:9" x14ac:dyDescent="0.2">
      <c r="D53" s="42" t="s">
        <v>37</v>
      </c>
      <c r="E53" s="43"/>
    </row>
    <row r="55" spans="1:9" x14ac:dyDescent="0.2">
      <c r="B55" s="10" t="s">
        <v>15</v>
      </c>
      <c r="C55" s="10"/>
      <c r="H55" s="55" t="s">
        <v>38</v>
      </c>
      <c r="I55" s="56">
        <v>90</v>
      </c>
    </row>
    <row r="57" spans="1:9" x14ac:dyDescent="0.2">
      <c r="B57" s="2" t="s">
        <v>0</v>
      </c>
      <c r="C57" s="2" t="s">
        <v>2</v>
      </c>
      <c r="D57" s="8" t="s">
        <v>18</v>
      </c>
      <c r="E57" s="8" t="s">
        <v>20</v>
      </c>
      <c r="F57" s="2" t="s">
        <v>14</v>
      </c>
      <c r="G57" s="2" t="s">
        <v>44</v>
      </c>
      <c r="H57" s="48" t="s">
        <v>16</v>
      </c>
      <c r="I57" s="56"/>
    </row>
    <row r="58" spans="1:9" x14ac:dyDescent="0.2">
      <c r="B58" t="s">
        <v>40</v>
      </c>
      <c r="C58" s="12">
        <v>8285</v>
      </c>
      <c r="D58" s="60"/>
      <c r="E58" s="60"/>
      <c r="F58" s="11"/>
      <c r="G58" s="62"/>
    </row>
    <row r="59" spans="1:9" x14ac:dyDescent="0.2">
      <c r="B59" t="s">
        <v>4</v>
      </c>
      <c r="C59" s="12">
        <v>12000</v>
      </c>
      <c r="D59" s="60"/>
      <c r="E59" s="60"/>
      <c r="F59" s="11"/>
      <c r="G59" s="62"/>
      <c r="H59" s="48" t="s">
        <v>17</v>
      </c>
      <c r="I59" s="56"/>
    </row>
    <row r="60" spans="1:9" x14ac:dyDescent="0.2">
      <c r="B60" t="s">
        <v>5</v>
      </c>
      <c r="C60" s="12">
        <v>13500</v>
      </c>
      <c r="D60" s="60"/>
      <c r="E60" s="60"/>
      <c r="F60" s="11"/>
      <c r="G60" s="62"/>
    </row>
    <row r="61" spans="1:9" x14ac:dyDescent="0.2">
      <c r="B61" t="s">
        <v>6</v>
      </c>
      <c r="C61" s="12">
        <v>25000</v>
      </c>
      <c r="D61" s="60"/>
      <c r="E61" s="60"/>
      <c r="F61" s="11"/>
      <c r="G61" s="62"/>
    </row>
    <row r="62" spans="1:9" x14ac:dyDescent="0.2">
      <c r="B62" t="s">
        <v>7</v>
      </c>
      <c r="C62" s="12">
        <v>17352</v>
      </c>
      <c r="D62" s="60"/>
      <c r="E62" s="60"/>
      <c r="F62" s="11"/>
      <c r="G62" s="62"/>
    </row>
    <row r="63" spans="1:9" x14ac:dyDescent="0.2">
      <c r="B63" t="s">
        <v>8</v>
      </c>
      <c r="C63" s="12">
        <v>18563</v>
      </c>
      <c r="D63" s="60"/>
      <c r="E63" s="60"/>
      <c r="F63" s="11"/>
      <c r="G63" s="62"/>
    </row>
    <row r="64" spans="1:9" x14ac:dyDescent="0.2">
      <c r="B64" t="s">
        <v>9</v>
      </c>
      <c r="C64" s="12">
        <v>11000</v>
      </c>
      <c r="D64" s="60"/>
      <c r="E64" s="60"/>
      <c r="F64" s="11"/>
      <c r="G64" s="62"/>
    </row>
    <row r="65" spans="1:16" x14ac:dyDescent="0.2">
      <c r="H65"/>
    </row>
    <row r="67" spans="1:16" x14ac:dyDescent="0.2">
      <c r="A67" s="14" t="s">
        <v>63</v>
      </c>
    </row>
    <row r="68" spans="1:16" x14ac:dyDescent="0.2">
      <c r="A68" s="14" t="s">
        <v>54</v>
      </c>
    </row>
    <row r="69" spans="1:16" x14ac:dyDescent="0.2">
      <c r="P69" s="67"/>
    </row>
    <row r="70" spans="1:16" x14ac:dyDescent="0.2">
      <c r="H70" s="55" t="s">
        <v>38</v>
      </c>
      <c r="I70" s="57"/>
    </row>
    <row r="72" spans="1:16" x14ac:dyDescent="0.2">
      <c r="B72" s="2" t="s">
        <v>0</v>
      </c>
      <c r="C72" s="2" t="s">
        <v>2</v>
      </c>
      <c r="D72" s="8" t="s">
        <v>18</v>
      </c>
      <c r="E72" s="8" t="s">
        <v>20</v>
      </c>
      <c r="F72" s="2" t="s">
        <v>14</v>
      </c>
      <c r="G72" s="2" t="s">
        <v>44</v>
      </c>
      <c r="M72" s="62"/>
      <c r="N72" s="62"/>
      <c r="P72" s="62"/>
    </row>
    <row r="73" spans="1:16" x14ac:dyDescent="0.2">
      <c r="B73" s="9" t="s">
        <v>40</v>
      </c>
      <c r="C73" s="12">
        <v>8285</v>
      </c>
      <c r="D73" s="61"/>
      <c r="E73" s="61"/>
      <c r="F73" s="11"/>
      <c r="G73" s="62"/>
      <c r="H73" s="48" t="s">
        <v>17</v>
      </c>
      <c r="I73" s="56"/>
      <c r="M73" s="62"/>
      <c r="N73" s="62"/>
    </row>
    <row r="74" spans="1:16" x14ac:dyDescent="0.2">
      <c r="B74" s="9" t="s">
        <v>4</v>
      </c>
      <c r="C74" s="12">
        <v>12000</v>
      </c>
      <c r="D74" s="61"/>
      <c r="E74" s="61"/>
      <c r="F74" s="11"/>
      <c r="G74" s="62"/>
      <c r="M74" s="62"/>
      <c r="N74" s="62"/>
    </row>
    <row r="75" spans="1:16" x14ac:dyDescent="0.2">
      <c r="B75" s="9" t="s">
        <v>5</v>
      </c>
      <c r="C75" s="12">
        <v>13500</v>
      </c>
      <c r="D75" s="61"/>
      <c r="E75" s="61"/>
      <c r="F75" s="11"/>
      <c r="G75" s="62"/>
      <c r="M75" s="62"/>
      <c r="N75" s="62"/>
    </row>
    <row r="76" spans="1:16" x14ac:dyDescent="0.2">
      <c r="B76" s="9" t="s">
        <v>6</v>
      </c>
      <c r="C76" s="12">
        <v>25000</v>
      </c>
      <c r="D76" s="61"/>
      <c r="E76" s="61"/>
      <c r="F76" s="11"/>
      <c r="G76" s="62"/>
      <c r="M76" s="62"/>
      <c r="N76" s="62"/>
    </row>
    <row r="77" spans="1:16" x14ac:dyDescent="0.2">
      <c r="B77" s="9" t="s">
        <v>7</v>
      </c>
      <c r="C77" s="12">
        <v>17352</v>
      </c>
      <c r="D77" s="61"/>
      <c r="E77" s="61"/>
      <c r="F77" s="11"/>
      <c r="G77" s="62"/>
      <c r="M77" s="62"/>
      <c r="N77" s="62"/>
    </row>
    <row r="78" spans="1:16" x14ac:dyDescent="0.2">
      <c r="B78" s="9" t="s">
        <v>8</v>
      </c>
      <c r="C78" s="12">
        <v>18563</v>
      </c>
      <c r="D78" s="61"/>
      <c r="E78" s="61"/>
      <c r="F78" s="11"/>
      <c r="G78" s="62"/>
      <c r="M78" s="62"/>
      <c r="N78" s="62"/>
    </row>
    <row r="79" spans="1:16" x14ac:dyDescent="0.2">
      <c r="B79" s="9" t="s">
        <v>9</v>
      </c>
      <c r="C79" s="12">
        <v>11000</v>
      </c>
      <c r="D79" s="61"/>
      <c r="E79" s="61"/>
      <c r="F79" s="11"/>
      <c r="G79" s="62"/>
    </row>
  </sheetData>
  <phoneticPr fontId="0" type="noConversion"/>
  <pageMargins left="0.74803149606299213" right="0.74803149606299213" top="0.98425196850393704" bottom="0.98425196850393704" header="0" footer="0"/>
  <pageSetup paperSize="9" scale="64" orientation="portrait" horizont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busqueda</vt:lpstr>
    </vt:vector>
  </TitlesOfParts>
  <Company>Análisis Económico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Castro</dc:creator>
  <cp:lastModifiedBy>ecalvo</cp:lastModifiedBy>
  <cp:lastPrinted>2011-10-24T10:51:39Z</cp:lastPrinted>
  <dcterms:created xsi:type="dcterms:W3CDTF">2001-01-16T08:50:42Z</dcterms:created>
  <dcterms:modified xsi:type="dcterms:W3CDTF">2022-11-24T10:47:34Z</dcterms:modified>
</cp:coreProperties>
</file>